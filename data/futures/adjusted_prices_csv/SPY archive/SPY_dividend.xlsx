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nson\Documents\python workspace\pysystemtradeanson\data\"/>
    </mc:Choice>
  </mc:AlternateContent>
  <xr:revisionPtr revIDLastSave="0" documentId="13_ncr:1_{CCA30EA9-FF23-40A0-ACDD-C3783BF35E3A}" xr6:coauthVersionLast="47" xr6:coauthVersionMax="47" xr10:uidLastSave="{00000000-0000-0000-0000-000000000000}"/>
  <bookViews>
    <workbookView xWindow="1020" yWindow="120" windowWidth="14265" windowHeight="133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2" i="1"/>
  <c r="F6" i="1"/>
  <c r="F2" i="1"/>
  <c r="E6" i="1"/>
  <c r="E2" i="1"/>
  <c r="I6" i="1" l="1"/>
  <c r="H2" i="1"/>
  <c r="I2" i="1" s="1"/>
  <c r="J2" i="1" s="1"/>
</calcChain>
</file>

<file path=xl/sharedStrings.xml><?xml version="1.0" encoding="utf-8"?>
<sst xmlns="http://schemas.openxmlformats.org/spreadsheetml/2006/main" count="16" uniqueCount="12">
  <si>
    <t>Close</t>
  </si>
  <si>
    <t>Adj Close</t>
  </si>
  <si>
    <t>SPY</t>
  </si>
  <si>
    <t>yahoo</t>
  </si>
  <si>
    <t>^GSPC</t>
  </si>
  <si>
    <t>years</t>
  </si>
  <si>
    <t>daily ret</t>
  </si>
  <si>
    <t>daily ret adj</t>
  </si>
  <si>
    <t>daily div</t>
  </si>
  <si>
    <t>annual div</t>
  </si>
  <si>
    <t>daily fee</t>
  </si>
  <si>
    <t>1+r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</si>
</sst>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H2" sqref="H2"/>
    </sheetView>
  </sheetViews>
  <sheetFormatPr defaultRowHeight="15" x14ac:dyDescent="0.25"/>
  <cols>
    <col min="7" max="7" width="9.5703125" bestFit="1" customWidth="1"/>
    <col min="8" max="9" width="12" bestFit="1" customWidth="1"/>
  </cols>
  <sheetData>
    <row r="1" spans="1:10" x14ac:dyDescent="0.25">
      <c r="A1" t="s">
        <v>2</v>
      </c>
      <c r="B1" t="s">
        <v>0</v>
      </c>
      <c r="C1" t="s">
        <v>1</v>
      </c>
      <c r="D1" t="s">
        <v>3</v>
      </c>
      <c r="E1" t="s">
        <v>5</v>
      </c>
      <c r="F1" t="s">
        <v>11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46083</v>
      </c>
      <c r="B2">
        <v>686.38</v>
      </c>
      <c r="C2">
        <v>686.38</v>
      </c>
      <c r="E2">
        <f>(A2-A3)/365.25</f>
        <v>33.086926762491444</v>
      </c>
      <c r="F2">
        <f>B2/B3</f>
        <v>15.62084660901229</v>
      </c>
      <c r="G2" s="2">
        <f>F2^(1/$E$2/252)-1</f>
        <v>3.2970623379413588E-4</v>
      </c>
      <c r="H2">
        <f>(C2/C3)^(1/$E$2/252)-1</f>
        <v>4.0107166763569957E-4</v>
      </c>
      <c r="I2">
        <f>H2-G2</f>
        <v>7.1365433841563686E-5</v>
      </c>
      <c r="J2">
        <f>(1+I2)^252-1</f>
        <v>1.8146123526528113E-2</v>
      </c>
    </row>
    <row r="3" spans="1:10" x14ac:dyDescent="0.25">
      <c r="A3" s="1">
        <v>33998</v>
      </c>
      <c r="B3">
        <v>43.94</v>
      </c>
      <c r="C3">
        <v>24.24</v>
      </c>
    </row>
    <row r="5" spans="1:10" x14ac:dyDescent="0.25">
      <c r="A5" t="s">
        <v>4</v>
      </c>
      <c r="B5" t="s">
        <v>0</v>
      </c>
      <c r="C5" t="s">
        <v>1</v>
      </c>
      <c r="E5" t="s">
        <v>5</v>
      </c>
      <c r="G5" t="s">
        <v>6</v>
      </c>
      <c r="I5" t="s">
        <v>10</v>
      </c>
    </row>
    <row r="6" spans="1:10" x14ac:dyDescent="0.25">
      <c r="A6" s="1">
        <v>46083</v>
      </c>
      <c r="B6">
        <v>6881.62</v>
      </c>
      <c r="C6">
        <v>6881.62</v>
      </c>
      <c r="E6">
        <f>(A6-A7)/365.25</f>
        <v>33.086926762491444</v>
      </c>
      <c r="F6">
        <f>B6/B7</f>
        <v>15.683531610374221</v>
      </c>
      <c r="G6" s="2">
        <f>F6^(1/$E$2/252)-1</f>
        <v>3.3018671392492926E-4</v>
      </c>
      <c r="I6" s="2">
        <f>G6-G2</f>
        <v>4.8048013079338148E-7</v>
      </c>
    </row>
    <row r="7" spans="1:10" x14ac:dyDescent="0.25">
      <c r="A7" s="1">
        <v>33998</v>
      </c>
      <c r="B7">
        <v>438.78</v>
      </c>
      <c r="C7">
        <v>438.78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Anson</dc:creator>
  <cp:lastModifiedBy>Lee Anson</cp:lastModifiedBy>
  <dcterms:created xsi:type="dcterms:W3CDTF">2015-06-05T18:17:20Z</dcterms:created>
  <dcterms:modified xsi:type="dcterms:W3CDTF">2026-03-03T10:54:41Z</dcterms:modified>
</cp:coreProperties>
</file>